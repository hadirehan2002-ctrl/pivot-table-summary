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ta\Downloads\"/>
    </mc:Choice>
  </mc:AlternateContent>
  <xr:revisionPtr revIDLastSave="0" documentId="13_ncr:1_{9097064B-08EC-429F-B054-0FCE40561830}" xr6:coauthVersionLast="47" xr6:coauthVersionMax="47" xr10:uidLastSave="{00000000-0000-0000-0000-000000000000}"/>
  <bookViews>
    <workbookView xWindow="-108" yWindow="-108" windowWidth="23256" windowHeight="12456" activeTab="1" xr2:uid="{E6A3812A-EEFC-44A3-AA5B-3FB120263EBF}"/>
  </bookViews>
  <sheets>
    <sheet name="Sheet2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<sst xmlns="http://schemas.openxmlformats.org/spreadsheetml/2006/main" count="174" uniqueCount="80">
  <si>
    <t>Order ID</t>
  </si>
  <si>
    <t>Order Date</t>
  </si>
  <si>
    <t>Customer Name</t>
  </si>
  <si>
    <t>City</t>
  </si>
  <si>
    <t>Product</t>
  </si>
  <si>
    <t>Category</t>
  </si>
  <si>
    <t>Quantity</t>
  </si>
  <si>
    <t>Unit Price</t>
  </si>
  <si>
    <t>Total Sales</t>
  </si>
  <si>
    <t>Payment Mode</t>
  </si>
  <si>
    <t>Amit Sharma</t>
  </si>
  <si>
    <t>Delhi</t>
  </si>
  <si>
    <t>Laptop</t>
  </si>
  <si>
    <t>Electronics</t>
  </si>
  <si>
    <t>Card</t>
  </si>
  <si>
    <t>Neha Verma</t>
  </si>
  <si>
    <t>Mumbai</t>
  </si>
  <si>
    <t>Mobile</t>
  </si>
  <si>
    <t>UPI</t>
  </si>
  <si>
    <t>Rahul Singh</t>
  </si>
  <si>
    <t>Pune</t>
  </si>
  <si>
    <t>Headphones</t>
  </si>
  <si>
    <t>Accessories</t>
  </si>
  <si>
    <t>Cash</t>
  </si>
  <si>
    <t>Pooja Mehta</t>
  </si>
  <si>
    <t>Ahmedabad</t>
  </si>
  <si>
    <t>Tablet</t>
  </si>
  <si>
    <t>Arjun Patel</t>
  </si>
  <si>
    <t>Surat</t>
  </si>
  <si>
    <t>Smart Watch</t>
  </si>
  <si>
    <t>Karan Malhotra</t>
  </si>
  <si>
    <t>Simran Kaur</t>
  </si>
  <si>
    <t>Chandigarh</t>
  </si>
  <si>
    <t>Rohan Das</t>
  </si>
  <si>
    <t>Kolkata</t>
  </si>
  <si>
    <t>Keyboard</t>
  </si>
  <si>
    <t>Anjali Roy</t>
  </si>
  <si>
    <t>Mouse</t>
  </si>
  <si>
    <t>Mohit Jain</t>
  </si>
  <si>
    <t>Jaipur</t>
  </si>
  <si>
    <t>Sneha Iyer</t>
  </si>
  <si>
    <t>Chennai</t>
  </si>
  <si>
    <t>Vikas Gupta</t>
  </si>
  <si>
    <t>Noida</t>
  </si>
  <si>
    <t>Nitin Rao</t>
  </si>
  <si>
    <t>Bengaluru</t>
  </si>
  <si>
    <t>Ayesha Khan</t>
  </si>
  <si>
    <t>Hyderabad</t>
  </si>
  <si>
    <t>Rohit Yadav</t>
  </si>
  <si>
    <t>Gurugram</t>
  </si>
  <si>
    <t>Kavita Joshi</t>
  </si>
  <si>
    <t>Indore</t>
  </si>
  <si>
    <t>Suresh Pillai</t>
  </si>
  <si>
    <t>Kochi</t>
  </si>
  <si>
    <t>Aman Bansal</t>
  </si>
  <si>
    <t>Ludhiana</t>
  </si>
  <si>
    <t>Preeti Arora</t>
  </si>
  <si>
    <t>Amritsar</t>
  </si>
  <si>
    <t>Harsh Vardhan</t>
  </si>
  <si>
    <t>Patna</t>
  </si>
  <si>
    <t>Ritu Saxena</t>
  </si>
  <si>
    <t>Bhopal</t>
  </si>
  <si>
    <t>Sanjay Mishra</t>
  </si>
  <si>
    <t>Varanasi</t>
  </si>
  <si>
    <t>Meenal Chawla</t>
  </si>
  <si>
    <t>Dehradun</t>
  </si>
  <si>
    <t>Abhishek Tiwari</t>
  </si>
  <si>
    <t>Prayagraj</t>
  </si>
  <si>
    <t>Nisha Kapoor</t>
  </si>
  <si>
    <t>Faridabad</t>
  </si>
  <si>
    <t>Total Profit</t>
  </si>
  <si>
    <t>Profit Margin</t>
  </si>
  <si>
    <t>Sales category</t>
  </si>
  <si>
    <t>high</t>
  </si>
  <si>
    <t>medium</t>
  </si>
  <si>
    <t>(All)</t>
  </si>
  <si>
    <t>Sum of Total Profit</t>
  </si>
  <si>
    <t>Sum of Total Sales</t>
  </si>
  <si>
    <t>Sum of Profit Margin</t>
  </si>
  <si>
    <t>Count of Sales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</si>
</sst>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ta" refreshedDate="46077.001536342592" createdVersion="8" refreshedVersion="8" minRefreshableVersion="3" recordCount="25" xr:uid="{13EA8567-D1E0-4E82-B044-E321940EFFBF}">
  <cacheSource type="worksheet">
    <worksheetSource ref="A2:M27" sheet="Sheet1"/>
  </cacheSource>
  <cacheFields count="13">
    <cacheField name="Order ID" numFmtId="0">
      <sharedItems containsSemiMixedTypes="0" containsString="0" containsNumber="1" containsInteger="1" minValue="1001" maxValue="1025"/>
    </cacheField>
    <cacheField name="Order Date" numFmtId="14">
      <sharedItems containsSemiMixedTypes="0" containsNonDate="0" containsDate="1" containsString="0" minDate="2025-01-01T00:00:00" maxDate="2025-04-02T00:00:00" count="23">
        <d v="2025-01-01T00:00:00"/>
        <d v="2025-01-02T00:00:00"/>
        <d v="2025-01-03T00:00:00"/>
        <d v="2025-01-04T00:00:00"/>
        <d v="2025-02-01T00:00:00"/>
        <d v="2025-02-02T00:00:00"/>
        <d v="2025-02-03T00:00:00"/>
        <d v="2025-02-05T00:00:00"/>
        <d v="2025-02-06T00:00:00"/>
        <d v="2025-02-07T00:00:00"/>
        <d v="2025-02-15T00:00:00"/>
        <d v="2025-02-17T00:00:00"/>
        <d v="2025-02-20T00:00:00"/>
        <d v="2025-02-22T00:00:00"/>
        <d v="2025-03-01T00:00:00"/>
        <d v="2025-03-03T00:00:00"/>
        <d v="2025-03-04T00:00:00"/>
        <d v="2025-03-10T00:00:00"/>
        <d v="2025-03-15T00:00:00"/>
        <d v="2025-03-18T00:00:00"/>
        <d v="2025-03-22T00:00:00"/>
        <d v="2025-03-28T00:00:00"/>
        <d v="2025-04-01T00:00:00"/>
      </sharedItems>
    </cacheField>
    <cacheField name="Customer Name" numFmtId="0">
      <sharedItems/>
    </cacheField>
    <cacheField name="City" numFmtId="0">
      <sharedItems/>
    </cacheField>
    <cacheField name="Product" numFmtId="0">
      <sharedItems count="7">
        <s v="Laptop"/>
        <s v="Mobile"/>
        <s v="Headphones"/>
        <s v="Tablet"/>
        <s v="Smart Watch"/>
        <s v="Keyboard"/>
        <s v="Mous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 Price" numFmtId="0">
      <sharedItems containsSemiMixedTypes="0" containsString="0" containsNumber="1" containsInteger="1" minValue="650" maxValue="60000"/>
    </cacheField>
    <cacheField name="Total Sales" numFmtId="0">
      <sharedItems containsSemiMixedTypes="0" containsString="0" containsNumber="1" containsInteger="1" minValue="1800" maxValue="60000" count="25">
        <n v="55000"/>
        <n v="36000"/>
        <n v="6000"/>
        <n v="25000"/>
        <n v="16000"/>
        <n v="60000"/>
        <n v="22000"/>
        <n v="3000"/>
        <n v="2100"/>
        <n v="52000"/>
        <n v="39000"/>
        <n v="27000"/>
        <n v="9000"/>
        <n v="58000"/>
        <n v="21000"/>
        <n v="5000"/>
        <n v="24000"/>
        <n v="56000"/>
        <n v="2600"/>
        <n v="35000"/>
        <n v="1800"/>
        <n v="50000"/>
        <n v="8500"/>
        <n v="23000"/>
        <n v="4400"/>
      </sharedItems>
    </cacheField>
    <cacheField name="Payment Mode" numFmtId="0">
      <sharedItems/>
    </cacheField>
    <cacheField name="Total Profit" numFmtId="0">
      <sharedItems containsSemiMixedTypes="0" containsString="0" containsNumber="1" containsInteger="1" minValue="300" maxValue="8000" count="14">
        <n v="8000"/>
        <n v="4000"/>
        <n v="750"/>
        <n v="3000"/>
        <n v="2000"/>
        <n v="5000"/>
        <n v="600"/>
        <n v="450"/>
        <n v="3500"/>
        <n v="1500"/>
        <n v="6000"/>
        <n v="2500"/>
        <n v="400"/>
        <n v="300"/>
      </sharedItems>
    </cacheField>
    <cacheField name="Profit Margin" numFmtId="0">
      <sharedItems containsSemiMixedTypes="0" containsString="0" containsNumber="1" minValue="8" maxValue="21.428571428571427" count="21">
        <n v="14.545454545454545"/>
        <n v="11.111111111111111"/>
        <n v="12.5"/>
        <n v="12"/>
        <n v="8.3333333333333321"/>
        <n v="18.181818181818183"/>
        <n v="20"/>
        <n v="21.428571428571427"/>
        <n v="9.6153846153846168"/>
        <n v="12.820512820512819"/>
        <n v="12.962962962962962"/>
        <n v="16.666666666666664"/>
        <n v="10.344827586206897"/>
        <n v="11.904761904761903"/>
        <n v="10.714285714285714"/>
        <n v="15.384615384615385"/>
        <n v="11.428571428571429"/>
        <n v="8"/>
        <n v="17.647058823529413"/>
        <n v="13.043478260869565"/>
        <n v="9.0909090909090917"/>
      </sharedItems>
    </cacheField>
    <cacheField name="Sales category" numFmtId="0">
      <sharedItems count="2"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01"/>
    <x v="0"/>
    <s v="Amit Sharma"/>
    <s v="Delhi"/>
    <x v="0"/>
    <s v="Electronics"/>
    <n v="1"/>
    <n v="55000"/>
    <x v="0"/>
    <s v="Card"/>
    <x v="0"/>
    <x v="0"/>
    <x v="0"/>
  </r>
  <r>
    <n v="1002"/>
    <x v="1"/>
    <s v="Neha Verma"/>
    <s v="Mumbai"/>
    <x v="1"/>
    <s v="Electronics"/>
    <n v="2"/>
    <n v="18000"/>
    <x v="1"/>
    <s v="UPI"/>
    <x v="1"/>
    <x v="1"/>
    <x v="0"/>
  </r>
  <r>
    <n v="1003"/>
    <x v="2"/>
    <s v="Rahul Singh"/>
    <s v="Pune"/>
    <x v="2"/>
    <s v="Accessories"/>
    <n v="3"/>
    <n v="2000"/>
    <x v="2"/>
    <s v="Cash"/>
    <x v="2"/>
    <x v="2"/>
    <x v="0"/>
  </r>
  <r>
    <n v="1004"/>
    <x v="2"/>
    <s v="Pooja Mehta"/>
    <s v="Ahmedabad"/>
    <x v="3"/>
    <s v="Electronics"/>
    <n v="1"/>
    <n v="25000"/>
    <x v="3"/>
    <s v="Card"/>
    <x v="3"/>
    <x v="3"/>
    <x v="0"/>
  </r>
  <r>
    <n v="1005"/>
    <x v="3"/>
    <s v="Arjun Patel"/>
    <s v="Surat"/>
    <x v="4"/>
    <s v="Accessories"/>
    <n v="2"/>
    <n v="8000"/>
    <x v="4"/>
    <s v="UPI"/>
    <x v="4"/>
    <x v="2"/>
    <x v="0"/>
  </r>
  <r>
    <n v="1006"/>
    <x v="4"/>
    <s v="Karan Malhotra"/>
    <s v="Delhi"/>
    <x v="0"/>
    <s v="Electronics"/>
    <n v="1"/>
    <n v="60000"/>
    <x v="5"/>
    <s v="Card"/>
    <x v="5"/>
    <x v="4"/>
    <x v="0"/>
  </r>
  <r>
    <n v="1007"/>
    <x v="5"/>
    <s v="Simran Kaur"/>
    <s v="Chandigarh"/>
    <x v="1"/>
    <s v="Electronics"/>
    <n v="1"/>
    <n v="22000"/>
    <x v="6"/>
    <s v="Cash"/>
    <x v="1"/>
    <x v="5"/>
    <x v="0"/>
  </r>
  <r>
    <n v="1008"/>
    <x v="6"/>
    <s v="Rohan Das"/>
    <s v="Kolkata"/>
    <x v="5"/>
    <s v="Accessories"/>
    <n v="2"/>
    <n v="1500"/>
    <x v="7"/>
    <s v="UPI"/>
    <x v="6"/>
    <x v="6"/>
    <x v="1"/>
  </r>
  <r>
    <n v="1009"/>
    <x v="7"/>
    <s v="Anjali Roy"/>
    <s v="Kolkata"/>
    <x v="6"/>
    <s v="Accessories"/>
    <n v="3"/>
    <n v="700"/>
    <x v="8"/>
    <s v="Cash"/>
    <x v="7"/>
    <x v="7"/>
    <x v="1"/>
  </r>
  <r>
    <n v="1010"/>
    <x v="8"/>
    <s v="Mohit Jain"/>
    <s v="Jaipur"/>
    <x v="0"/>
    <s v="Electronics"/>
    <n v="1"/>
    <n v="52000"/>
    <x v="9"/>
    <s v="Card"/>
    <x v="5"/>
    <x v="8"/>
    <x v="0"/>
  </r>
  <r>
    <n v="1011"/>
    <x v="9"/>
    <s v="Sneha Iyer"/>
    <s v="Chennai"/>
    <x v="1"/>
    <s v="Electronics"/>
    <n v="2"/>
    <n v="19500"/>
    <x v="10"/>
    <s v="UPI"/>
    <x v="5"/>
    <x v="9"/>
    <x v="0"/>
  </r>
  <r>
    <n v="1012"/>
    <x v="10"/>
    <s v="Vikas Gupta"/>
    <s v="Noida"/>
    <x v="3"/>
    <s v="Electronics"/>
    <n v="1"/>
    <n v="27000"/>
    <x v="11"/>
    <s v="Card"/>
    <x v="8"/>
    <x v="10"/>
    <x v="0"/>
  </r>
  <r>
    <n v="1013"/>
    <x v="11"/>
    <s v="Nitin Rao"/>
    <s v="Bengaluru"/>
    <x v="4"/>
    <s v="Accessories"/>
    <n v="1"/>
    <n v="9000"/>
    <x v="12"/>
    <s v="Cash"/>
    <x v="9"/>
    <x v="11"/>
    <x v="0"/>
  </r>
  <r>
    <n v="1014"/>
    <x v="12"/>
    <s v="Ayesha Khan"/>
    <s v="Hyderabad"/>
    <x v="0"/>
    <s v="Electronics"/>
    <n v="1"/>
    <n v="58000"/>
    <x v="13"/>
    <s v="UPI"/>
    <x v="10"/>
    <x v="12"/>
    <x v="0"/>
  </r>
  <r>
    <n v="1015"/>
    <x v="13"/>
    <s v="Rohit Yadav"/>
    <s v="Gurugram"/>
    <x v="1"/>
    <s v="Electronics"/>
    <n v="1"/>
    <n v="21000"/>
    <x v="14"/>
    <s v="Card"/>
    <x v="11"/>
    <x v="13"/>
    <x v="0"/>
  </r>
  <r>
    <n v="1016"/>
    <x v="14"/>
    <s v="Kavita Joshi"/>
    <s v="Indore"/>
    <x v="2"/>
    <s v="Accessories"/>
    <n v="2"/>
    <n v="2500"/>
    <x v="15"/>
    <s v="Cash"/>
    <x v="6"/>
    <x v="3"/>
    <x v="1"/>
  </r>
  <r>
    <n v="1017"/>
    <x v="15"/>
    <s v="Suresh Pillai"/>
    <s v="Kochi"/>
    <x v="3"/>
    <s v="Electronics"/>
    <n v="1"/>
    <n v="24000"/>
    <x v="16"/>
    <s v="UPI"/>
    <x v="1"/>
    <x v="11"/>
    <x v="0"/>
  </r>
  <r>
    <n v="1018"/>
    <x v="16"/>
    <s v="Aman Bansal"/>
    <s v="Ludhiana"/>
    <x v="0"/>
    <s v="Electronics"/>
    <n v="1"/>
    <n v="56000"/>
    <x v="17"/>
    <s v="Card"/>
    <x v="10"/>
    <x v="14"/>
    <x v="0"/>
  </r>
  <r>
    <n v="1019"/>
    <x v="17"/>
    <s v="Preeti Arora"/>
    <s v="Amritsar"/>
    <x v="6"/>
    <s v="Accessories"/>
    <n v="4"/>
    <n v="650"/>
    <x v="18"/>
    <s v="Cash"/>
    <x v="12"/>
    <x v="15"/>
    <x v="1"/>
  </r>
  <r>
    <n v="1020"/>
    <x v="18"/>
    <s v="Harsh Vardhan"/>
    <s v="Patna"/>
    <x v="1"/>
    <s v="Electronics"/>
    <n v="2"/>
    <n v="17500"/>
    <x v="19"/>
    <s v="UPI"/>
    <x v="1"/>
    <x v="16"/>
    <x v="0"/>
  </r>
  <r>
    <n v="1021"/>
    <x v="19"/>
    <s v="Ritu Saxena"/>
    <s v="Bhopal"/>
    <x v="5"/>
    <s v="Accessories"/>
    <n v="1"/>
    <n v="1800"/>
    <x v="20"/>
    <s v="Card"/>
    <x v="13"/>
    <x v="11"/>
    <x v="1"/>
  </r>
  <r>
    <n v="1022"/>
    <x v="20"/>
    <s v="Sanjay Mishra"/>
    <s v="Varanasi"/>
    <x v="0"/>
    <s v="Electronics"/>
    <n v="1"/>
    <n v="50000"/>
    <x v="21"/>
    <s v="Cash"/>
    <x v="1"/>
    <x v="17"/>
    <x v="0"/>
  </r>
  <r>
    <n v="1023"/>
    <x v="21"/>
    <s v="Meenal Chawla"/>
    <s v="Dehradun"/>
    <x v="4"/>
    <s v="Accessories"/>
    <n v="1"/>
    <n v="8500"/>
    <x v="22"/>
    <s v="UPI"/>
    <x v="9"/>
    <x v="18"/>
    <x v="0"/>
  </r>
  <r>
    <n v="1024"/>
    <x v="22"/>
    <s v="Abhishek Tiwari"/>
    <s v="Prayagraj"/>
    <x v="1"/>
    <s v="Electronics"/>
    <n v="1"/>
    <n v="23000"/>
    <x v="23"/>
    <s v="Card"/>
    <x v="3"/>
    <x v="19"/>
    <x v="0"/>
  </r>
  <r>
    <n v="1025"/>
    <x v="22"/>
    <s v="Nisha Kapoor"/>
    <s v="Faridabad"/>
    <x v="2"/>
    <s v="Accessories"/>
    <n v="2"/>
    <n v="2200"/>
    <x v="24"/>
    <s v="Cash"/>
    <x v="12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8A31F-D3F5-48B1-83CD-BBFC157AC5E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7" firstHeaderRow="0" firstDataRow="1" firstDataCol="0" rowPageCount="4" colPageCount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dataField="1" showAll="0">
      <items count="26">
        <item x="20"/>
        <item x="8"/>
        <item x="18"/>
        <item x="7"/>
        <item x="24"/>
        <item x="15"/>
        <item x="2"/>
        <item x="22"/>
        <item x="12"/>
        <item x="4"/>
        <item x="14"/>
        <item x="6"/>
        <item x="23"/>
        <item x="16"/>
        <item x="3"/>
        <item x="11"/>
        <item x="19"/>
        <item x="1"/>
        <item x="10"/>
        <item x="21"/>
        <item x="9"/>
        <item x="0"/>
        <item x="17"/>
        <item x="13"/>
        <item x="5"/>
        <item t="default"/>
      </items>
    </pivotField>
    <pivotField showAll="0"/>
    <pivotField axis="axisPage" dataField="1" showAll="0">
      <items count="15">
        <item x="13"/>
        <item x="12"/>
        <item x="7"/>
        <item x="6"/>
        <item x="2"/>
        <item x="9"/>
        <item x="4"/>
        <item x="11"/>
        <item x="3"/>
        <item x="8"/>
        <item x="1"/>
        <item x="5"/>
        <item x="10"/>
        <item x="0"/>
        <item t="default"/>
      </items>
    </pivotField>
    <pivotField axis="axisPage" dataField="1" showAll="0">
      <items count="22">
        <item x="17"/>
        <item x="4"/>
        <item x="20"/>
        <item x="8"/>
        <item x="12"/>
        <item x="14"/>
        <item x="1"/>
        <item x="16"/>
        <item x="13"/>
        <item x="3"/>
        <item x="2"/>
        <item x="9"/>
        <item x="10"/>
        <item x="19"/>
        <item x="0"/>
        <item x="15"/>
        <item x="11"/>
        <item x="18"/>
        <item x="5"/>
        <item x="6"/>
        <item x="7"/>
        <item t="default"/>
      </items>
    </pivotField>
    <pivotField axis="axisPage" dataField="1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12" item="1" hier="-1"/>
    <pageField fld="11" hier="-1"/>
    <pageField fld="10" hier="-1"/>
    <pageField fld="8" hier="-1"/>
  </pageFields>
  <dataFields count="4">
    <dataField name="Sum of Total Sales" fld="8" baseField="0" baseItem="0"/>
    <dataField name="Sum of Total Profit" fld="10" baseField="0" baseItem="0"/>
    <dataField name="Count of Sales category" fld="12" subtotal="count" baseField="0" baseItem="0"/>
    <dataField name="Sum of Profit Margi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E2F5-E775-40B3-80D5-6D904ADBB2A8}">
  <dimension ref="A1:D7"/>
  <sheetViews>
    <sheetView zoomScaleNormal="100" workbookViewId="0">
      <selection activeCell="C13" sqref="C13"/>
    </sheetView>
  </sheetViews>
  <sheetFormatPr defaultRowHeight="14.4" x14ac:dyDescent="0.3"/>
  <cols>
    <col min="1" max="2" width="16.109375" bestFit="1" customWidth="1"/>
    <col min="3" max="3" width="20.33203125" bestFit="1" customWidth="1"/>
    <col min="4" max="4" width="17.6640625" bestFit="1" customWidth="1"/>
    <col min="5" max="6" width="4" bestFit="1" customWidth="1"/>
    <col min="7" max="15" width="5" bestFit="1" customWidth="1"/>
    <col min="16" max="16" width="10.5546875" bestFit="1" customWidth="1"/>
    <col min="17" max="20" width="6" bestFit="1" customWidth="1"/>
    <col min="21" max="21" width="10.5546875" bestFit="1" customWidth="1"/>
  </cols>
  <sheetData>
    <row r="1" spans="1:4" x14ac:dyDescent="0.3">
      <c r="A1" s="11" t="s">
        <v>72</v>
      </c>
      <c r="B1" t="s">
        <v>74</v>
      </c>
    </row>
    <row r="2" spans="1:4" x14ac:dyDescent="0.3">
      <c r="A2" s="11" t="s">
        <v>71</v>
      </c>
      <c r="B2" t="s">
        <v>75</v>
      </c>
    </row>
    <row r="3" spans="1:4" x14ac:dyDescent="0.3">
      <c r="A3" s="11" t="s">
        <v>70</v>
      </c>
      <c r="B3" t="s">
        <v>75</v>
      </c>
    </row>
    <row r="4" spans="1:4" x14ac:dyDescent="0.3">
      <c r="A4" s="11" t="s">
        <v>8</v>
      </c>
      <c r="B4" t="s">
        <v>75</v>
      </c>
    </row>
    <row r="6" spans="1:4" x14ac:dyDescent="0.3">
      <c r="A6" t="s">
        <v>77</v>
      </c>
      <c r="B6" t="s">
        <v>76</v>
      </c>
      <c r="C6" t="s">
        <v>79</v>
      </c>
      <c r="D6" t="s">
        <v>78</v>
      </c>
    </row>
    <row r="7" spans="1:4" x14ac:dyDescent="0.3">
      <c r="A7">
        <v>18900</v>
      </c>
      <c r="B7">
        <v>2750</v>
      </c>
      <c r="C7">
        <v>6</v>
      </c>
      <c r="D7">
        <v>94.570762570762568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3BD0-AF4A-40D2-98D9-C14D7586790C}">
  <dimension ref="A2:M29"/>
  <sheetViews>
    <sheetView tabSelected="1" topLeftCell="A2" workbookViewId="0">
      <selection activeCell="N12" sqref="N12"/>
    </sheetView>
  </sheetViews>
  <sheetFormatPr defaultRowHeight="14.4" x14ac:dyDescent="0.3"/>
  <cols>
    <col min="1" max="1" width="7.88671875" bestFit="1" customWidth="1"/>
    <col min="2" max="2" width="10.33203125" bestFit="1" customWidth="1"/>
    <col min="5" max="5" width="8.44140625" bestFit="1" customWidth="1"/>
    <col min="6" max="6" width="8.5546875" bestFit="1" customWidth="1"/>
    <col min="7" max="7" width="8.109375" bestFit="1" customWidth="1"/>
    <col min="8" max="9" width="6" bestFit="1" customWidth="1"/>
    <col min="10" max="10" width="8.33203125" bestFit="1" customWidth="1"/>
    <col min="11" max="11" width="10" bestFit="1" customWidth="1"/>
    <col min="12" max="12" width="12" bestFit="1" customWidth="1"/>
    <col min="13" max="13" width="13.109375" bestFit="1" customWidth="1"/>
  </cols>
  <sheetData>
    <row r="2" spans="1:13" ht="28.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5" t="s">
        <v>6</v>
      </c>
      <c r="H2" s="2" t="s">
        <v>7</v>
      </c>
      <c r="I2" s="2" t="s">
        <v>8</v>
      </c>
      <c r="J2" s="2" t="s">
        <v>9</v>
      </c>
      <c r="K2" s="8" t="s">
        <v>70</v>
      </c>
      <c r="L2" s="10" t="s">
        <v>71</v>
      </c>
      <c r="M2" s="10" t="s">
        <v>72</v>
      </c>
    </row>
    <row r="3" spans="1:13" ht="28.8" x14ac:dyDescent="0.3">
      <c r="A3" s="3">
        <v>1001</v>
      </c>
      <c r="B3" s="4">
        <v>45658</v>
      </c>
      <c r="C3" s="1" t="s">
        <v>10</v>
      </c>
      <c r="D3" s="1" t="s">
        <v>11</v>
      </c>
      <c r="E3" s="3" t="s">
        <v>12</v>
      </c>
      <c r="F3" s="3" t="s">
        <v>13</v>
      </c>
      <c r="G3" s="6">
        <v>1</v>
      </c>
      <c r="H3" s="3">
        <v>55000</v>
      </c>
      <c r="I3" s="3">
        <v>55000</v>
      </c>
      <c r="J3" s="1" t="s">
        <v>14</v>
      </c>
      <c r="K3" s="9">
        <v>8000</v>
      </c>
      <c r="L3">
        <f t="shared" ref="L3:L27" si="0">K3/I3*100</f>
        <v>14.545454545454545</v>
      </c>
      <c r="M3" t="str">
        <f>IF(K3&gt;5000, "high"," medium")</f>
        <v>high</v>
      </c>
    </row>
    <row r="4" spans="1:13" ht="28.8" x14ac:dyDescent="0.3">
      <c r="A4" s="3">
        <v>1002</v>
      </c>
      <c r="B4" s="4">
        <v>45659</v>
      </c>
      <c r="C4" s="1" t="s">
        <v>15</v>
      </c>
      <c r="D4" s="1" t="s">
        <v>16</v>
      </c>
      <c r="E4" s="3" t="s">
        <v>17</v>
      </c>
      <c r="F4" s="3" t="s">
        <v>13</v>
      </c>
      <c r="G4" s="6">
        <v>2</v>
      </c>
      <c r="H4" s="3">
        <v>18000</v>
      </c>
      <c r="I4" s="3">
        <v>36000</v>
      </c>
      <c r="J4" s="1" t="s">
        <v>18</v>
      </c>
      <c r="K4" s="9">
        <v>4000</v>
      </c>
      <c r="L4">
        <f t="shared" si="0"/>
        <v>11.111111111111111</v>
      </c>
      <c r="M4" t="s">
        <v>73</v>
      </c>
    </row>
    <row r="5" spans="1:13" ht="28.8" x14ac:dyDescent="0.3">
      <c r="A5" s="3">
        <v>1003</v>
      </c>
      <c r="B5" s="4">
        <v>45660</v>
      </c>
      <c r="C5" s="1" t="s">
        <v>19</v>
      </c>
      <c r="D5" s="1" t="s">
        <v>20</v>
      </c>
      <c r="E5" s="3" t="s">
        <v>21</v>
      </c>
      <c r="F5" s="3" t="s">
        <v>22</v>
      </c>
      <c r="G5" s="6">
        <v>3</v>
      </c>
      <c r="H5" s="3">
        <v>2000</v>
      </c>
      <c r="I5" s="3">
        <v>6000</v>
      </c>
      <c r="J5" s="1" t="s">
        <v>23</v>
      </c>
      <c r="K5" s="1">
        <v>750</v>
      </c>
      <c r="L5">
        <f t="shared" si="0"/>
        <v>12.5</v>
      </c>
      <c r="M5" t="s">
        <v>73</v>
      </c>
    </row>
    <row r="6" spans="1:13" ht="28.8" x14ac:dyDescent="0.3">
      <c r="A6" s="3">
        <v>1004</v>
      </c>
      <c r="B6" s="4">
        <v>45660</v>
      </c>
      <c r="C6" s="1" t="s">
        <v>24</v>
      </c>
      <c r="D6" s="1" t="s">
        <v>25</v>
      </c>
      <c r="E6" s="3" t="s">
        <v>26</v>
      </c>
      <c r="F6" s="3" t="s">
        <v>13</v>
      </c>
      <c r="G6" s="6">
        <v>1</v>
      </c>
      <c r="H6" s="3">
        <v>25000</v>
      </c>
      <c r="I6" s="3">
        <v>25000</v>
      </c>
      <c r="J6" s="1" t="s">
        <v>14</v>
      </c>
      <c r="K6" s="9">
        <v>3000</v>
      </c>
      <c r="L6">
        <f t="shared" si="0"/>
        <v>12</v>
      </c>
      <c r="M6" t="s">
        <v>73</v>
      </c>
    </row>
    <row r="7" spans="1:13" ht="28.8" x14ac:dyDescent="0.3">
      <c r="A7" s="3">
        <v>1005</v>
      </c>
      <c r="B7" s="4">
        <v>45661</v>
      </c>
      <c r="C7" s="1" t="s">
        <v>27</v>
      </c>
      <c r="D7" s="1" t="s">
        <v>28</v>
      </c>
      <c r="E7" s="3" t="s">
        <v>29</v>
      </c>
      <c r="F7" s="3" t="s">
        <v>22</v>
      </c>
      <c r="G7" s="6">
        <v>2</v>
      </c>
      <c r="H7" s="3">
        <v>8000</v>
      </c>
      <c r="I7" s="3">
        <v>16000</v>
      </c>
      <c r="J7" s="1" t="s">
        <v>18</v>
      </c>
      <c r="K7" s="9">
        <v>2000</v>
      </c>
      <c r="L7">
        <f t="shared" si="0"/>
        <v>12.5</v>
      </c>
      <c r="M7" t="s">
        <v>73</v>
      </c>
    </row>
    <row r="8" spans="1:13" ht="28.8" x14ac:dyDescent="0.3">
      <c r="A8" s="3">
        <v>1006</v>
      </c>
      <c r="B8" s="4">
        <v>45689</v>
      </c>
      <c r="C8" s="1" t="s">
        <v>30</v>
      </c>
      <c r="D8" s="1" t="s">
        <v>11</v>
      </c>
      <c r="E8" s="3" t="s">
        <v>12</v>
      </c>
      <c r="F8" s="3" t="s">
        <v>13</v>
      </c>
      <c r="G8" s="6">
        <v>1</v>
      </c>
      <c r="H8" s="3">
        <v>60000</v>
      </c>
      <c r="I8" s="3">
        <v>60000</v>
      </c>
      <c r="J8" s="1" t="s">
        <v>14</v>
      </c>
      <c r="K8" s="9">
        <v>5000</v>
      </c>
      <c r="L8">
        <f t="shared" si="0"/>
        <v>8.3333333333333321</v>
      </c>
      <c r="M8" t="s">
        <v>73</v>
      </c>
    </row>
    <row r="9" spans="1:13" ht="28.8" x14ac:dyDescent="0.3">
      <c r="A9" s="3">
        <v>1007</v>
      </c>
      <c r="B9" s="4">
        <v>45690</v>
      </c>
      <c r="C9" s="1" t="s">
        <v>31</v>
      </c>
      <c r="D9" s="1" t="s">
        <v>32</v>
      </c>
      <c r="E9" s="3" t="s">
        <v>17</v>
      </c>
      <c r="F9" s="3" t="s">
        <v>13</v>
      </c>
      <c r="G9" s="6">
        <v>1</v>
      </c>
      <c r="H9" s="3">
        <v>22000</v>
      </c>
      <c r="I9" s="3">
        <v>22000</v>
      </c>
      <c r="J9" s="1" t="s">
        <v>23</v>
      </c>
      <c r="K9" s="9">
        <v>4000</v>
      </c>
      <c r="L9">
        <f t="shared" si="0"/>
        <v>18.181818181818183</v>
      </c>
      <c r="M9" t="s">
        <v>73</v>
      </c>
    </row>
    <row r="10" spans="1:13" ht="28.8" x14ac:dyDescent="0.3">
      <c r="A10" s="3">
        <v>1008</v>
      </c>
      <c r="B10" s="4">
        <v>45691</v>
      </c>
      <c r="C10" s="1" t="s">
        <v>33</v>
      </c>
      <c r="D10" s="1" t="s">
        <v>34</v>
      </c>
      <c r="E10" s="3" t="s">
        <v>35</v>
      </c>
      <c r="F10" s="3" t="s">
        <v>22</v>
      </c>
      <c r="G10" s="6">
        <v>2</v>
      </c>
      <c r="H10" s="3">
        <v>1500</v>
      </c>
      <c r="I10" s="3">
        <v>3000</v>
      </c>
      <c r="J10" s="1" t="s">
        <v>18</v>
      </c>
      <c r="K10" s="9">
        <v>600</v>
      </c>
      <c r="L10">
        <f t="shared" si="0"/>
        <v>20</v>
      </c>
      <c r="M10" t="s">
        <v>74</v>
      </c>
    </row>
    <row r="11" spans="1:13" ht="28.8" x14ac:dyDescent="0.3">
      <c r="A11" s="3">
        <v>1009</v>
      </c>
      <c r="B11" s="4">
        <v>45693</v>
      </c>
      <c r="C11" s="1" t="s">
        <v>36</v>
      </c>
      <c r="D11" s="1" t="s">
        <v>34</v>
      </c>
      <c r="E11" s="3" t="s">
        <v>37</v>
      </c>
      <c r="F11" s="3" t="s">
        <v>22</v>
      </c>
      <c r="G11" s="6">
        <v>3</v>
      </c>
      <c r="H11" s="3">
        <v>700</v>
      </c>
      <c r="I11" s="3">
        <v>2100</v>
      </c>
      <c r="J11" s="1" t="s">
        <v>23</v>
      </c>
      <c r="K11" s="9">
        <v>450</v>
      </c>
      <c r="L11">
        <f t="shared" si="0"/>
        <v>21.428571428571427</v>
      </c>
      <c r="M11" t="s">
        <v>74</v>
      </c>
    </row>
    <row r="12" spans="1:13" ht="28.8" x14ac:dyDescent="0.3">
      <c r="A12" s="3">
        <v>1010</v>
      </c>
      <c r="B12" s="4">
        <v>45694</v>
      </c>
      <c r="C12" s="1" t="s">
        <v>38</v>
      </c>
      <c r="D12" s="1" t="s">
        <v>39</v>
      </c>
      <c r="E12" s="3" t="s">
        <v>12</v>
      </c>
      <c r="F12" s="3" t="s">
        <v>13</v>
      </c>
      <c r="G12" s="6">
        <v>1</v>
      </c>
      <c r="H12" s="3">
        <v>52000</v>
      </c>
      <c r="I12" s="3">
        <v>52000</v>
      </c>
      <c r="J12" s="1" t="s">
        <v>14</v>
      </c>
      <c r="K12" s="9">
        <v>5000</v>
      </c>
      <c r="L12">
        <f t="shared" si="0"/>
        <v>9.6153846153846168</v>
      </c>
      <c r="M12" t="s">
        <v>73</v>
      </c>
    </row>
    <row r="13" spans="1:13" ht="28.8" x14ac:dyDescent="0.3">
      <c r="A13" s="3">
        <v>1011</v>
      </c>
      <c r="B13" s="4">
        <v>45695</v>
      </c>
      <c r="C13" s="1" t="s">
        <v>40</v>
      </c>
      <c r="D13" s="1" t="s">
        <v>41</v>
      </c>
      <c r="E13" s="3" t="s">
        <v>17</v>
      </c>
      <c r="F13" s="3" t="s">
        <v>13</v>
      </c>
      <c r="G13" s="6">
        <v>2</v>
      </c>
      <c r="H13" s="3">
        <v>19500</v>
      </c>
      <c r="I13" s="3">
        <v>39000</v>
      </c>
      <c r="J13" s="1" t="s">
        <v>18</v>
      </c>
      <c r="K13" s="9">
        <v>5000</v>
      </c>
      <c r="L13">
        <f t="shared" si="0"/>
        <v>12.820512820512819</v>
      </c>
      <c r="M13" t="s">
        <v>73</v>
      </c>
    </row>
    <row r="14" spans="1:13" ht="28.8" x14ac:dyDescent="0.3">
      <c r="A14" s="3">
        <v>1012</v>
      </c>
      <c r="B14" s="4">
        <v>45703</v>
      </c>
      <c r="C14" s="1" t="s">
        <v>42</v>
      </c>
      <c r="D14" s="1" t="s">
        <v>43</v>
      </c>
      <c r="E14" s="3" t="s">
        <v>26</v>
      </c>
      <c r="F14" s="3" t="s">
        <v>13</v>
      </c>
      <c r="G14" s="6">
        <v>1</v>
      </c>
      <c r="H14" s="3">
        <v>27000</v>
      </c>
      <c r="I14" s="3">
        <v>27000</v>
      </c>
      <c r="J14" s="1" t="s">
        <v>14</v>
      </c>
      <c r="K14" s="9">
        <v>3500</v>
      </c>
      <c r="L14">
        <f t="shared" si="0"/>
        <v>12.962962962962962</v>
      </c>
      <c r="M14" t="s">
        <v>73</v>
      </c>
    </row>
    <row r="15" spans="1:13" ht="28.8" x14ac:dyDescent="0.3">
      <c r="A15" s="3">
        <v>1013</v>
      </c>
      <c r="B15" s="4">
        <v>45705</v>
      </c>
      <c r="C15" s="1" t="s">
        <v>44</v>
      </c>
      <c r="D15" s="1" t="s">
        <v>45</v>
      </c>
      <c r="E15" s="3" t="s">
        <v>29</v>
      </c>
      <c r="F15" s="3" t="s">
        <v>22</v>
      </c>
      <c r="G15" s="6">
        <v>1</v>
      </c>
      <c r="H15" s="3">
        <v>9000</v>
      </c>
      <c r="I15" s="3">
        <v>9000</v>
      </c>
      <c r="J15" s="1" t="s">
        <v>23</v>
      </c>
      <c r="K15" s="9">
        <v>1500</v>
      </c>
      <c r="L15">
        <f t="shared" si="0"/>
        <v>16.666666666666664</v>
      </c>
      <c r="M15" t="s">
        <v>73</v>
      </c>
    </row>
    <row r="16" spans="1:13" ht="28.8" x14ac:dyDescent="0.3">
      <c r="A16" s="3">
        <v>1014</v>
      </c>
      <c r="B16" s="4">
        <v>45708</v>
      </c>
      <c r="C16" s="1" t="s">
        <v>46</v>
      </c>
      <c r="D16" s="1" t="s">
        <v>47</v>
      </c>
      <c r="E16" s="3" t="s">
        <v>12</v>
      </c>
      <c r="F16" s="3" t="s">
        <v>13</v>
      </c>
      <c r="G16" s="6">
        <v>1</v>
      </c>
      <c r="H16" s="3">
        <v>58000</v>
      </c>
      <c r="I16" s="3">
        <v>58000</v>
      </c>
      <c r="J16" s="1" t="s">
        <v>18</v>
      </c>
      <c r="K16" s="9">
        <v>6000</v>
      </c>
      <c r="L16">
        <f t="shared" si="0"/>
        <v>10.344827586206897</v>
      </c>
      <c r="M16" t="s">
        <v>73</v>
      </c>
    </row>
    <row r="17" spans="1:13" ht="28.8" x14ac:dyDescent="0.3">
      <c r="A17" s="3">
        <v>1015</v>
      </c>
      <c r="B17" s="4">
        <v>45710</v>
      </c>
      <c r="C17" s="1" t="s">
        <v>48</v>
      </c>
      <c r="D17" s="1" t="s">
        <v>49</v>
      </c>
      <c r="E17" s="3" t="s">
        <v>17</v>
      </c>
      <c r="F17" s="3" t="s">
        <v>13</v>
      </c>
      <c r="G17" s="6">
        <v>1</v>
      </c>
      <c r="H17" s="3">
        <v>21000</v>
      </c>
      <c r="I17" s="3">
        <v>21000</v>
      </c>
      <c r="J17" s="1" t="s">
        <v>14</v>
      </c>
      <c r="K17" s="9">
        <v>2500</v>
      </c>
      <c r="L17">
        <f t="shared" si="0"/>
        <v>11.904761904761903</v>
      </c>
      <c r="M17" t="s">
        <v>73</v>
      </c>
    </row>
    <row r="18" spans="1:13" ht="28.8" x14ac:dyDescent="0.3">
      <c r="A18" s="3">
        <v>1016</v>
      </c>
      <c r="B18" s="4">
        <v>45717</v>
      </c>
      <c r="C18" s="1" t="s">
        <v>50</v>
      </c>
      <c r="D18" s="1" t="s">
        <v>51</v>
      </c>
      <c r="E18" s="3" t="s">
        <v>21</v>
      </c>
      <c r="F18" s="3" t="s">
        <v>22</v>
      </c>
      <c r="G18" s="6">
        <v>2</v>
      </c>
      <c r="H18" s="3">
        <v>2500</v>
      </c>
      <c r="I18" s="3">
        <v>5000</v>
      </c>
      <c r="J18" s="1" t="s">
        <v>23</v>
      </c>
      <c r="K18" s="9">
        <v>600</v>
      </c>
      <c r="L18">
        <f t="shared" si="0"/>
        <v>12</v>
      </c>
      <c r="M18" t="s">
        <v>74</v>
      </c>
    </row>
    <row r="19" spans="1:13" ht="28.8" x14ac:dyDescent="0.3">
      <c r="A19" s="3">
        <v>1017</v>
      </c>
      <c r="B19" s="4">
        <v>45719</v>
      </c>
      <c r="C19" s="1" t="s">
        <v>52</v>
      </c>
      <c r="D19" s="1" t="s">
        <v>53</v>
      </c>
      <c r="E19" s="3" t="s">
        <v>26</v>
      </c>
      <c r="F19" s="3" t="s">
        <v>13</v>
      </c>
      <c r="G19" s="6">
        <v>1</v>
      </c>
      <c r="H19" s="3">
        <v>24000</v>
      </c>
      <c r="I19" s="3">
        <v>24000</v>
      </c>
      <c r="J19" s="1" t="s">
        <v>18</v>
      </c>
      <c r="K19" s="9">
        <v>4000</v>
      </c>
      <c r="L19">
        <f t="shared" si="0"/>
        <v>16.666666666666664</v>
      </c>
      <c r="M19" t="s">
        <v>73</v>
      </c>
    </row>
    <row r="20" spans="1:13" ht="28.8" x14ac:dyDescent="0.3">
      <c r="A20" s="3">
        <v>1018</v>
      </c>
      <c r="B20" s="4">
        <v>45720</v>
      </c>
      <c r="C20" s="1" t="s">
        <v>54</v>
      </c>
      <c r="D20" s="1" t="s">
        <v>55</v>
      </c>
      <c r="E20" s="3" t="s">
        <v>12</v>
      </c>
      <c r="F20" s="3" t="s">
        <v>13</v>
      </c>
      <c r="G20" s="6">
        <v>1</v>
      </c>
      <c r="H20" s="3">
        <v>56000</v>
      </c>
      <c r="I20" s="3">
        <v>56000</v>
      </c>
      <c r="J20" s="1" t="s">
        <v>14</v>
      </c>
      <c r="K20" s="9">
        <v>6000</v>
      </c>
      <c r="L20">
        <f t="shared" si="0"/>
        <v>10.714285714285714</v>
      </c>
      <c r="M20" t="s">
        <v>73</v>
      </c>
    </row>
    <row r="21" spans="1:13" ht="28.8" x14ac:dyDescent="0.3">
      <c r="A21" s="3">
        <v>1019</v>
      </c>
      <c r="B21" s="4">
        <v>45726</v>
      </c>
      <c r="C21" s="1" t="s">
        <v>56</v>
      </c>
      <c r="D21" s="1" t="s">
        <v>57</v>
      </c>
      <c r="E21" s="3" t="s">
        <v>37</v>
      </c>
      <c r="F21" s="3" t="s">
        <v>22</v>
      </c>
      <c r="G21" s="6">
        <v>4</v>
      </c>
      <c r="H21" s="3">
        <v>650</v>
      </c>
      <c r="I21" s="3">
        <v>2600</v>
      </c>
      <c r="J21" s="1" t="s">
        <v>23</v>
      </c>
      <c r="K21" s="9">
        <v>400</v>
      </c>
      <c r="L21">
        <f t="shared" si="0"/>
        <v>15.384615384615385</v>
      </c>
      <c r="M21" t="s">
        <v>74</v>
      </c>
    </row>
    <row r="22" spans="1:13" ht="28.8" x14ac:dyDescent="0.3">
      <c r="A22" s="3">
        <v>1020</v>
      </c>
      <c r="B22" s="4">
        <v>45731</v>
      </c>
      <c r="C22" s="1" t="s">
        <v>58</v>
      </c>
      <c r="D22" s="1" t="s">
        <v>59</v>
      </c>
      <c r="E22" s="3" t="s">
        <v>17</v>
      </c>
      <c r="F22" s="3" t="s">
        <v>13</v>
      </c>
      <c r="G22" s="6">
        <v>2</v>
      </c>
      <c r="H22" s="3">
        <v>17500</v>
      </c>
      <c r="I22" s="3">
        <v>35000</v>
      </c>
      <c r="J22" s="1" t="s">
        <v>18</v>
      </c>
      <c r="K22" s="9">
        <v>4000</v>
      </c>
      <c r="L22">
        <f t="shared" si="0"/>
        <v>11.428571428571429</v>
      </c>
      <c r="M22" t="s">
        <v>73</v>
      </c>
    </row>
    <row r="23" spans="1:13" ht="28.8" x14ac:dyDescent="0.3">
      <c r="A23" s="3">
        <v>1021</v>
      </c>
      <c r="B23" s="4">
        <v>45734</v>
      </c>
      <c r="C23" s="1" t="s">
        <v>60</v>
      </c>
      <c r="D23" s="1" t="s">
        <v>61</v>
      </c>
      <c r="E23" s="3" t="s">
        <v>35</v>
      </c>
      <c r="F23" s="3" t="s">
        <v>22</v>
      </c>
      <c r="G23" s="6">
        <v>1</v>
      </c>
      <c r="H23" s="3">
        <v>1800</v>
      </c>
      <c r="I23" s="3">
        <v>1800</v>
      </c>
      <c r="J23" s="1" t="s">
        <v>14</v>
      </c>
      <c r="K23" s="9">
        <v>300</v>
      </c>
      <c r="L23">
        <f t="shared" si="0"/>
        <v>16.666666666666664</v>
      </c>
      <c r="M23" t="s">
        <v>74</v>
      </c>
    </row>
    <row r="24" spans="1:13" ht="28.8" x14ac:dyDescent="0.3">
      <c r="A24" s="3">
        <v>1022</v>
      </c>
      <c r="B24" s="4">
        <v>45738</v>
      </c>
      <c r="C24" s="1" t="s">
        <v>62</v>
      </c>
      <c r="D24" s="1" t="s">
        <v>63</v>
      </c>
      <c r="E24" s="3" t="s">
        <v>12</v>
      </c>
      <c r="F24" s="3" t="s">
        <v>13</v>
      </c>
      <c r="G24" s="6">
        <v>1</v>
      </c>
      <c r="H24" s="3">
        <v>50000</v>
      </c>
      <c r="I24" s="3">
        <v>50000</v>
      </c>
      <c r="J24" s="1" t="s">
        <v>23</v>
      </c>
      <c r="K24" s="9">
        <v>4000</v>
      </c>
      <c r="L24">
        <f t="shared" si="0"/>
        <v>8</v>
      </c>
      <c r="M24" t="s">
        <v>73</v>
      </c>
    </row>
    <row r="25" spans="1:13" ht="28.8" x14ac:dyDescent="0.3">
      <c r="A25" s="3">
        <v>1023</v>
      </c>
      <c r="B25" s="4">
        <v>45744</v>
      </c>
      <c r="C25" s="1" t="s">
        <v>64</v>
      </c>
      <c r="D25" s="1" t="s">
        <v>65</v>
      </c>
      <c r="E25" s="3" t="s">
        <v>29</v>
      </c>
      <c r="F25" s="3" t="s">
        <v>22</v>
      </c>
      <c r="G25" s="6">
        <v>1</v>
      </c>
      <c r="H25" s="3">
        <v>8500</v>
      </c>
      <c r="I25" s="3">
        <v>8500</v>
      </c>
      <c r="J25" s="1" t="s">
        <v>18</v>
      </c>
      <c r="K25" s="9">
        <v>1500</v>
      </c>
      <c r="L25">
        <f t="shared" si="0"/>
        <v>17.647058823529413</v>
      </c>
      <c r="M25" t="s">
        <v>73</v>
      </c>
    </row>
    <row r="26" spans="1:13" ht="28.8" x14ac:dyDescent="0.3">
      <c r="A26" s="3">
        <v>1024</v>
      </c>
      <c r="B26" s="4">
        <v>45748</v>
      </c>
      <c r="C26" s="1" t="s">
        <v>66</v>
      </c>
      <c r="D26" s="1" t="s">
        <v>67</v>
      </c>
      <c r="E26" s="3" t="s">
        <v>17</v>
      </c>
      <c r="F26" s="3" t="s">
        <v>13</v>
      </c>
      <c r="G26" s="6">
        <v>1</v>
      </c>
      <c r="H26" s="3">
        <v>23000</v>
      </c>
      <c r="I26" s="3">
        <v>23000</v>
      </c>
      <c r="J26" s="1" t="s">
        <v>14</v>
      </c>
      <c r="K26" s="9">
        <v>3000</v>
      </c>
      <c r="L26">
        <f t="shared" si="0"/>
        <v>13.043478260869565</v>
      </c>
      <c r="M26" t="s">
        <v>73</v>
      </c>
    </row>
    <row r="27" spans="1:13" ht="28.8" x14ac:dyDescent="0.3">
      <c r="A27" s="3">
        <v>1025</v>
      </c>
      <c r="B27" s="4">
        <v>45748</v>
      </c>
      <c r="C27" s="1" t="s">
        <v>68</v>
      </c>
      <c r="D27" s="1" t="s">
        <v>69</v>
      </c>
      <c r="E27" s="3" t="s">
        <v>21</v>
      </c>
      <c r="F27" s="3" t="s">
        <v>22</v>
      </c>
      <c r="G27" s="6">
        <v>2</v>
      </c>
      <c r="H27" s="3">
        <v>2200</v>
      </c>
      <c r="I27" s="3">
        <v>4400</v>
      </c>
      <c r="J27" s="1" t="s">
        <v>23</v>
      </c>
      <c r="K27" s="9">
        <v>400</v>
      </c>
      <c r="L27">
        <f t="shared" si="0"/>
        <v>9.0909090909090917</v>
      </c>
      <c r="M27" t="s">
        <v>74</v>
      </c>
    </row>
    <row r="28" spans="1:13" x14ac:dyDescent="0.3">
      <c r="J28" s="7"/>
      <c r="K28" s="7"/>
    </row>
    <row r="29" spans="1:13" x14ac:dyDescent="0.3">
      <c r="J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mohtashimrehan22@gmail.com</dc:creator>
  <cp:lastModifiedBy>mohtashimrehan22@gmail.com</cp:lastModifiedBy>
  <dcterms:created xsi:type="dcterms:W3CDTF">2026-02-15T09:08:10Z</dcterms:created>
  <dcterms:modified xsi:type="dcterms:W3CDTF">2026-02-26T16:35:26Z</dcterms:modified>
</cp:coreProperties>
</file>